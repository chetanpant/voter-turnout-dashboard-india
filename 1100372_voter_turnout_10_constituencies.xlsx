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artnersprimus-my.sharepoint.com/personal/chetanpant_primuspartners_in/Documents/Desktop/Chetan/Chetan/Bits/DVST/"/>
    </mc:Choice>
  </mc:AlternateContent>
  <xr:revisionPtr revIDLastSave="15" documentId="11_69C160CE937FF40F62355476585DCE3A87477B62" xr6:coauthVersionLast="47" xr6:coauthVersionMax="47" xr10:uidLastSave="{F6954FD1-EC18-4E09-9BAC-C6C74A85878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/>
  <c r="G5" i="1"/>
  <c r="H5" i="1"/>
  <c r="G6" i="1"/>
  <c r="G7" i="1"/>
  <c r="G8" i="1"/>
  <c r="G9" i="1"/>
  <c r="G10" i="1"/>
  <c r="H10" i="1"/>
  <c r="G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<sst xmlns="http://schemas.openxmlformats.org/spreadsheetml/2006/main" count="79" uniqueCount="38">
  <si>
    <t>Year</t>
  </si>
  <si>
    <t>State</t>
  </si>
  <si>
    <t>PC_NO</t>
  </si>
  <si>
    <t>PC</t>
  </si>
  <si>
    <t>Electors_Total</t>
  </si>
  <si>
    <t>Electors_Male</t>
  </si>
  <si>
    <t>Electors_Female</t>
  </si>
  <si>
    <t>Electors_TG</t>
  </si>
  <si>
    <t>Votes_Male_EVM</t>
  </si>
  <si>
    <t>Votes_Female_EVM</t>
  </si>
  <si>
    <t>Votes_TG_EVM</t>
  </si>
  <si>
    <t>Votes_Total_EVM</t>
  </si>
  <si>
    <t>Postal_Votes</t>
  </si>
  <si>
    <t>Total_Votes</t>
  </si>
  <si>
    <t>Turnout_Overall_pct</t>
  </si>
  <si>
    <t>Turnout_Male_pct</t>
  </si>
  <si>
    <t>Turnout_Female_pct</t>
  </si>
  <si>
    <t>Turnout_TG_pct</t>
  </si>
  <si>
    <t>Turnout_Postal_pct</t>
  </si>
  <si>
    <t>Gujarat</t>
  </si>
  <si>
    <t>Ahmedabad East</t>
  </si>
  <si>
    <t>Andaman &amp; Nicobar Islands</t>
  </si>
  <si>
    <t>Karnataka</t>
  </si>
  <si>
    <t>Bangalore South</t>
  </si>
  <si>
    <t>Odisha</t>
  </si>
  <si>
    <t>Bhubaneswar</t>
  </si>
  <si>
    <t>Assam</t>
  </si>
  <si>
    <t>Dibrugarh</t>
  </si>
  <si>
    <t>Kerala</t>
  </si>
  <si>
    <t>Ernakulam</t>
  </si>
  <si>
    <t>West Bengal</t>
  </si>
  <si>
    <t>Kolkata Dakshin</t>
  </si>
  <si>
    <t>Uttar Pradesh</t>
  </si>
  <si>
    <t>Lucknow</t>
  </si>
  <si>
    <t>Maharashtra</t>
  </si>
  <si>
    <t>Mumbai North</t>
  </si>
  <si>
    <t>Bihar</t>
  </si>
  <si>
    <t>Muzaffarpur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</si>
</sst>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J11" sqref="J11"/>
    </sheetView>
  </sheetViews>
  <sheetFormatPr defaultRowHeight="14.5" x14ac:dyDescent="0.35"/>
  <sheetData>
    <row r="1" spans="1:19" s="2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2014</v>
      </c>
      <c r="B2" t="s">
        <v>19</v>
      </c>
      <c r="C2">
        <v>7</v>
      </c>
      <c r="D2" t="s">
        <v>20</v>
      </c>
      <c r="E2">
        <v>1601832</v>
      </c>
      <c r="F2">
        <f>I2/P2*100</f>
        <v>850633.00000000023</v>
      </c>
      <c r="G2">
        <f>J2/Q2*100</f>
        <v>748620.00000000058</v>
      </c>
      <c r="H2">
        <f>K2/R2*100</f>
        <v>10</v>
      </c>
      <c r="I2">
        <v>557279</v>
      </c>
      <c r="J2">
        <v>422980</v>
      </c>
      <c r="K2">
        <v>6</v>
      </c>
      <c r="L2">
        <v>980265</v>
      </c>
      <c r="M2">
        <v>6261</v>
      </c>
      <c r="N2">
        <v>986526</v>
      </c>
      <c r="O2">
        <v>61.587357475690332</v>
      </c>
      <c r="P2">
        <v>65.513447044730199</v>
      </c>
      <c r="Q2">
        <v>56.501295717453402</v>
      </c>
      <c r="R2">
        <v>60</v>
      </c>
      <c r="S2">
        <v>0.39086495962123369</v>
      </c>
    </row>
    <row r="3" spans="1:19" x14ac:dyDescent="0.35">
      <c r="A3">
        <v>2014</v>
      </c>
      <c r="B3" t="s">
        <v>21</v>
      </c>
      <c r="C3">
        <v>1</v>
      </c>
      <c r="D3" t="s">
        <v>21</v>
      </c>
      <c r="E3">
        <v>269360</v>
      </c>
      <c r="F3">
        <f t="shared" ref="F3:F21" si="0">I3/P3*100</f>
        <v>142512.99999999991</v>
      </c>
      <c r="G3">
        <f t="shared" ref="G3:G20" si="1">J3/Q3*100</f>
        <v>126427.00000000001</v>
      </c>
      <c r="I3">
        <v>101129</v>
      </c>
      <c r="J3">
        <v>89084</v>
      </c>
      <c r="K3">
        <v>0</v>
      </c>
      <c r="L3">
        <v>190213</v>
      </c>
      <c r="M3">
        <v>133</v>
      </c>
      <c r="N3">
        <v>190346</v>
      </c>
      <c r="O3">
        <v>70.666023166023166</v>
      </c>
      <c r="P3">
        <v>70.961245640748601</v>
      </c>
      <c r="Q3">
        <v>70.462796712727496</v>
      </c>
      <c r="R3">
        <v>0</v>
      </c>
      <c r="S3">
        <v>4.9376299376299379E-2</v>
      </c>
    </row>
    <row r="4" spans="1:19" x14ac:dyDescent="0.35">
      <c r="A4">
        <v>2014</v>
      </c>
      <c r="B4" t="s">
        <v>22</v>
      </c>
      <c r="C4">
        <v>26</v>
      </c>
      <c r="D4" t="s">
        <v>23</v>
      </c>
      <c r="E4">
        <v>1998724</v>
      </c>
      <c r="F4">
        <f t="shared" si="0"/>
        <v>1050583.9999999995</v>
      </c>
      <c r="G4">
        <f t="shared" si="1"/>
        <v>947604.00000000023</v>
      </c>
      <c r="H4">
        <f t="shared" ref="H3:H20" si="2">K4/R4*100</f>
        <v>320</v>
      </c>
      <c r="I4">
        <v>596688</v>
      </c>
      <c r="J4">
        <v>516207</v>
      </c>
      <c r="K4">
        <v>19</v>
      </c>
      <c r="L4">
        <v>1112914</v>
      </c>
      <c r="M4">
        <v>1445</v>
      </c>
      <c r="N4">
        <v>1114359</v>
      </c>
      <c r="O4">
        <v>55.753520746236099</v>
      </c>
      <c r="P4">
        <v>56.7958392665413</v>
      </c>
      <c r="Q4">
        <v>54.474970557321399</v>
      </c>
      <c r="R4">
        <v>5.9375</v>
      </c>
      <c r="S4">
        <v>7.2296124927703875E-2</v>
      </c>
    </row>
    <row r="5" spans="1:19" x14ac:dyDescent="0.35">
      <c r="A5">
        <v>2014</v>
      </c>
      <c r="B5" t="s">
        <v>24</v>
      </c>
      <c r="C5">
        <v>18</v>
      </c>
      <c r="D5" t="s">
        <v>25</v>
      </c>
      <c r="E5">
        <v>1527768</v>
      </c>
      <c r="F5">
        <f t="shared" si="0"/>
        <v>834601.99999999965</v>
      </c>
      <c r="G5">
        <f t="shared" si="1"/>
        <v>691068.00000000035</v>
      </c>
      <c r="H5">
        <f t="shared" si="2"/>
        <v>252.99999999999997</v>
      </c>
      <c r="I5">
        <v>485138</v>
      </c>
      <c r="J5">
        <v>406314</v>
      </c>
      <c r="K5">
        <v>8</v>
      </c>
      <c r="L5">
        <v>891460</v>
      </c>
      <c r="M5">
        <v>498</v>
      </c>
      <c r="N5">
        <v>891958</v>
      </c>
      <c r="O5">
        <v>58.383079106251728</v>
      </c>
      <c r="P5">
        <v>58.128065832576503</v>
      </c>
      <c r="Q5">
        <v>58.795082394207199</v>
      </c>
      <c r="R5">
        <v>3.1620553359683798</v>
      </c>
      <c r="S5">
        <v>3.2596572254426068E-2</v>
      </c>
    </row>
    <row r="6" spans="1:19" x14ac:dyDescent="0.35">
      <c r="A6">
        <v>2014</v>
      </c>
      <c r="B6" t="s">
        <v>26</v>
      </c>
      <c r="C6">
        <v>13</v>
      </c>
      <c r="D6" t="s">
        <v>27</v>
      </c>
      <c r="E6">
        <v>1124305</v>
      </c>
      <c r="F6">
        <f t="shared" si="0"/>
        <v>578272.99999999965</v>
      </c>
      <c r="G6">
        <f t="shared" si="1"/>
        <v>544114</v>
      </c>
      <c r="I6">
        <v>462187</v>
      </c>
      <c r="J6">
        <v>428637</v>
      </c>
      <c r="K6">
        <v>0</v>
      </c>
      <c r="L6">
        <v>890824</v>
      </c>
      <c r="M6">
        <v>305</v>
      </c>
      <c r="N6">
        <v>891129</v>
      </c>
      <c r="O6">
        <v>79.26043200021347</v>
      </c>
      <c r="P6">
        <v>79.925398557428807</v>
      </c>
      <c r="Q6">
        <v>78.777057748927604</v>
      </c>
      <c r="R6">
        <v>0</v>
      </c>
      <c r="S6">
        <v>2.7127870106421301E-2</v>
      </c>
    </row>
    <row r="7" spans="1:19" x14ac:dyDescent="0.35">
      <c r="A7">
        <v>2014</v>
      </c>
      <c r="B7" t="s">
        <v>28</v>
      </c>
      <c r="C7">
        <v>12</v>
      </c>
      <c r="D7" t="s">
        <v>29</v>
      </c>
      <c r="E7">
        <v>1156355</v>
      </c>
      <c r="F7">
        <f t="shared" si="0"/>
        <v>565022.99999999988</v>
      </c>
      <c r="G7">
        <f t="shared" si="1"/>
        <v>590195.00000000035</v>
      </c>
      <c r="I7">
        <v>428604</v>
      </c>
      <c r="J7">
        <v>421361</v>
      </c>
      <c r="K7">
        <v>0</v>
      </c>
      <c r="L7">
        <v>849965</v>
      </c>
      <c r="M7">
        <v>945</v>
      </c>
      <c r="N7">
        <v>850910</v>
      </c>
      <c r="O7">
        <v>73.585533854222973</v>
      </c>
      <c r="P7">
        <v>75.856027099781798</v>
      </c>
      <c r="Q7">
        <v>71.393522479858305</v>
      </c>
      <c r="R7">
        <v>0</v>
      </c>
      <c r="S7">
        <v>8.1722308460637091E-2</v>
      </c>
    </row>
    <row r="8" spans="1:19" x14ac:dyDescent="0.35">
      <c r="A8">
        <v>2014</v>
      </c>
      <c r="B8" t="s">
        <v>30</v>
      </c>
      <c r="C8">
        <v>23</v>
      </c>
      <c r="D8" t="s">
        <v>31</v>
      </c>
      <c r="E8">
        <v>1685296</v>
      </c>
      <c r="F8">
        <f t="shared" si="0"/>
        <v>889765.99999999942</v>
      </c>
      <c r="G8">
        <f t="shared" si="1"/>
        <v>794769.00000000035</v>
      </c>
      <c r="I8">
        <v>626618</v>
      </c>
      <c r="J8">
        <v>540007</v>
      </c>
      <c r="K8">
        <v>0</v>
      </c>
      <c r="L8">
        <v>1166625</v>
      </c>
      <c r="M8">
        <v>1842</v>
      </c>
      <c r="N8">
        <v>1168467</v>
      </c>
      <c r="O8">
        <v>69.333042978800165</v>
      </c>
      <c r="P8">
        <v>70.425033098590006</v>
      </c>
      <c r="Q8">
        <v>67.945151358445003</v>
      </c>
      <c r="R8">
        <v>0</v>
      </c>
      <c r="S8">
        <v>0.1092983072409832</v>
      </c>
    </row>
    <row r="9" spans="1:19" x14ac:dyDescent="0.35">
      <c r="A9">
        <v>2014</v>
      </c>
      <c r="B9" t="s">
        <v>32</v>
      </c>
      <c r="C9">
        <v>35</v>
      </c>
      <c r="D9" t="s">
        <v>33</v>
      </c>
      <c r="E9">
        <v>1949956</v>
      </c>
      <c r="F9">
        <f t="shared" si="0"/>
        <v>1051076.9999999991</v>
      </c>
      <c r="G9">
        <f t="shared" si="1"/>
        <v>897109.00000000035</v>
      </c>
      <c r="I9">
        <v>580513</v>
      </c>
      <c r="J9">
        <v>450547</v>
      </c>
      <c r="K9">
        <v>0</v>
      </c>
      <c r="L9">
        <v>1031060</v>
      </c>
      <c r="M9">
        <v>3638</v>
      </c>
      <c r="N9">
        <v>1034698</v>
      </c>
      <c r="O9">
        <v>53.062633208133917</v>
      </c>
      <c r="P9">
        <v>55.230301871318702</v>
      </c>
      <c r="Q9">
        <v>50.222102330931897</v>
      </c>
      <c r="R9">
        <v>0</v>
      </c>
      <c r="S9">
        <v>0.18656831231063681</v>
      </c>
    </row>
    <row r="10" spans="1:19" x14ac:dyDescent="0.35">
      <c r="A10">
        <v>2014</v>
      </c>
      <c r="B10" t="s">
        <v>34</v>
      </c>
      <c r="C10">
        <v>26</v>
      </c>
      <c r="D10" t="s">
        <v>35</v>
      </c>
      <c r="E10">
        <v>1783870</v>
      </c>
      <c r="F10">
        <f t="shared" si="0"/>
        <v>972592.9999999993</v>
      </c>
      <c r="G10">
        <f t="shared" si="1"/>
        <v>811041</v>
      </c>
      <c r="H10">
        <f t="shared" si="2"/>
        <v>6.999999999999992</v>
      </c>
      <c r="I10">
        <v>527247</v>
      </c>
      <c r="J10">
        <v>418394</v>
      </c>
      <c r="K10">
        <v>1</v>
      </c>
      <c r="L10">
        <v>945642</v>
      </c>
      <c r="M10">
        <v>1075</v>
      </c>
      <c r="N10">
        <v>946717</v>
      </c>
      <c r="O10">
        <v>53.070963691300378</v>
      </c>
      <c r="P10">
        <v>54.210445684885698</v>
      </c>
      <c r="Q10">
        <v>51.587281037580098</v>
      </c>
      <c r="R10">
        <v>14.285714285714301</v>
      </c>
      <c r="S10">
        <v>6.0262238840274242E-2</v>
      </c>
    </row>
    <row r="11" spans="1:19" x14ac:dyDescent="0.35">
      <c r="A11">
        <v>2014</v>
      </c>
      <c r="B11" t="s">
        <v>36</v>
      </c>
      <c r="C11">
        <v>15</v>
      </c>
      <c r="D11" t="s">
        <v>37</v>
      </c>
      <c r="E11">
        <v>1551363</v>
      </c>
      <c r="F11">
        <f t="shared" si="0"/>
        <v>828964</v>
      </c>
      <c r="G11">
        <f t="shared" si="1"/>
        <v>719429.00000000058</v>
      </c>
      <c r="I11">
        <v>490949</v>
      </c>
      <c r="J11">
        <v>457916</v>
      </c>
      <c r="K11">
        <v>0</v>
      </c>
      <c r="L11">
        <v>948865</v>
      </c>
      <c r="M11">
        <v>62</v>
      </c>
      <c r="N11">
        <v>948927</v>
      </c>
      <c r="O11">
        <v>61.167309005049113</v>
      </c>
      <c r="P11">
        <v>59.2244054024059</v>
      </c>
      <c r="Q11">
        <v>63.649922368989799</v>
      </c>
      <c r="R11">
        <v>0</v>
      </c>
      <c r="S11">
        <v>3.996485670987383E-3</v>
      </c>
    </row>
    <row r="12" spans="1:19" x14ac:dyDescent="0.35">
      <c r="A12">
        <v>2019</v>
      </c>
      <c r="B12" t="s">
        <v>19</v>
      </c>
      <c r="C12">
        <v>7</v>
      </c>
      <c r="D12" t="s">
        <v>20</v>
      </c>
      <c r="E12">
        <v>1811851</v>
      </c>
      <c r="F12">
        <f t="shared" si="0"/>
        <v>956013.00000000012</v>
      </c>
      <c r="G12">
        <f t="shared" si="1"/>
        <v>855770.99999999988</v>
      </c>
      <c r="H12">
        <f t="shared" si="2"/>
        <v>67</v>
      </c>
      <c r="I12">
        <v>619676</v>
      </c>
      <c r="J12">
        <v>489608</v>
      </c>
      <c r="K12">
        <v>12</v>
      </c>
      <c r="L12">
        <v>1109296</v>
      </c>
      <c r="M12">
        <v>9768</v>
      </c>
      <c r="N12">
        <v>1119064</v>
      </c>
      <c r="O12">
        <v>61.763577689335378</v>
      </c>
      <c r="P12">
        <v>64.818783844989554</v>
      </c>
      <c r="Q12">
        <v>57.212501942692619</v>
      </c>
      <c r="R12">
        <v>17.910447761194028</v>
      </c>
      <c r="S12">
        <v>0.53911717906163359</v>
      </c>
    </row>
    <row r="13" spans="1:19" x14ac:dyDescent="0.35">
      <c r="A13">
        <v>2019</v>
      </c>
      <c r="B13" t="s">
        <v>21</v>
      </c>
      <c r="C13">
        <v>1</v>
      </c>
      <c r="D13" t="s">
        <v>21</v>
      </c>
      <c r="E13">
        <v>318471</v>
      </c>
      <c r="F13">
        <f t="shared" si="0"/>
        <v>169274</v>
      </c>
      <c r="G13">
        <f t="shared" si="1"/>
        <v>149188</v>
      </c>
      <c r="H13">
        <f t="shared" si="2"/>
        <v>9</v>
      </c>
      <c r="I13">
        <v>109407</v>
      </c>
      <c r="J13">
        <v>97671</v>
      </c>
      <c r="K13">
        <v>2</v>
      </c>
      <c r="L13">
        <v>207080</v>
      </c>
      <c r="M13">
        <v>318</v>
      </c>
      <c r="N13">
        <v>207398</v>
      </c>
      <c r="O13">
        <v>65.123041030423494</v>
      </c>
      <c r="P13">
        <v>64.633080094993915</v>
      </c>
      <c r="Q13">
        <v>65.468402284366036</v>
      </c>
      <c r="R13">
        <v>22.222222222222221</v>
      </c>
      <c r="S13">
        <v>9.9852105843232203E-2</v>
      </c>
    </row>
    <row r="14" spans="1:19" x14ac:dyDescent="0.35">
      <c r="A14">
        <v>2019</v>
      </c>
      <c r="B14" t="s">
        <v>22</v>
      </c>
      <c r="C14">
        <v>26</v>
      </c>
      <c r="D14" t="s">
        <v>23</v>
      </c>
      <c r="E14">
        <v>2215489</v>
      </c>
      <c r="F14">
        <f t="shared" si="0"/>
        <v>1153540.0000000002</v>
      </c>
      <c r="G14">
        <f t="shared" si="1"/>
        <v>1061605</v>
      </c>
      <c r="H14">
        <f t="shared" si="2"/>
        <v>344</v>
      </c>
      <c r="I14">
        <v>616311</v>
      </c>
      <c r="J14">
        <v>568793</v>
      </c>
      <c r="K14">
        <v>33</v>
      </c>
      <c r="L14">
        <v>1185137</v>
      </c>
      <c r="M14">
        <v>4520</v>
      </c>
      <c r="N14">
        <v>1189657</v>
      </c>
      <c r="O14">
        <v>53.697265028172112</v>
      </c>
      <c r="P14">
        <v>53.427796175251828</v>
      </c>
      <c r="Q14">
        <v>53.578590907164148</v>
      </c>
      <c r="R14">
        <v>9.5930232558139537</v>
      </c>
      <c r="S14">
        <v>0.20401816483855259</v>
      </c>
    </row>
    <row r="15" spans="1:19" x14ac:dyDescent="0.35">
      <c r="A15">
        <v>2019</v>
      </c>
      <c r="B15" t="s">
        <v>24</v>
      </c>
      <c r="C15">
        <v>18</v>
      </c>
      <c r="D15" t="s">
        <v>25</v>
      </c>
      <c r="E15">
        <v>1699678</v>
      </c>
      <c r="F15">
        <f t="shared" si="0"/>
        <v>908757.99999999977</v>
      </c>
      <c r="G15">
        <f t="shared" si="1"/>
        <v>790394</v>
      </c>
      <c r="H15">
        <f t="shared" si="2"/>
        <v>525.99999999999989</v>
      </c>
      <c r="I15">
        <v>534680</v>
      </c>
      <c r="J15">
        <v>468962</v>
      </c>
      <c r="K15">
        <v>62</v>
      </c>
      <c r="L15">
        <v>1003704</v>
      </c>
      <c r="M15">
        <v>1920</v>
      </c>
      <c r="N15">
        <v>1005624</v>
      </c>
      <c r="O15">
        <v>59.165559594229023</v>
      </c>
      <c r="P15">
        <v>58.836345869857553</v>
      </c>
      <c r="Q15">
        <v>59.332687242059023</v>
      </c>
      <c r="R15">
        <v>11.78707224334601</v>
      </c>
      <c r="S15">
        <v>0.112962572910869</v>
      </c>
    </row>
    <row r="16" spans="1:19" x14ac:dyDescent="0.35">
      <c r="A16">
        <v>2019</v>
      </c>
      <c r="B16" t="s">
        <v>26</v>
      </c>
      <c r="C16">
        <v>13</v>
      </c>
      <c r="D16" t="s">
        <v>27</v>
      </c>
      <c r="E16">
        <v>1314319</v>
      </c>
      <c r="F16">
        <f t="shared" si="0"/>
        <v>664692.00000000012</v>
      </c>
      <c r="G16">
        <f t="shared" si="1"/>
        <v>649599</v>
      </c>
      <c r="H16">
        <f t="shared" si="2"/>
        <v>28.000000000000004</v>
      </c>
      <c r="I16">
        <v>514418</v>
      </c>
      <c r="J16">
        <v>499258</v>
      </c>
      <c r="K16">
        <v>1</v>
      </c>
      <c r="L16">
        <v>1013677</v>
      </c>
      <c r="M16">
        <v>2315</v>
      </c>
      <c r="N16">
        <v>1015992</v>
      </c>
      <c r="O16">
        <v>77.301781378797685</v>
      </c>
      <c r="P16">
        <v>77.391934911206988</v>
      </c>
      <c r="Q16">
        <v>76.856337525150138</v>
      </c>
      <c r="R16">
        <v>3.5714285714285712</v>
      </c>
      <c r="S16">
        <v>0.1761368434908116</v>
      </c>
    </row>
    <row r="17" spans="1:19" x14ac:dyDescent="0.35">
      <c r="A17">
        <v>2019</v>
      </c>
      <c r="B17" t="s">
        <v>28</v>
      </c>
      <c r="C17">
        <v>12</v>
      </c>
      <c r="D17" t="s">
        <v>29</v>
      </c>
      <c r="E17">
        <v>1245972</v>
      </c>
      <c r="F17">
        <f t="shared" si="0"/>
        <v>607769</v>
      </c>
      <c r="G17">
        <f t="shared" si="1"/>
        <v>638189.99999999988</v>
      </c>
      <c r="H17">
        <f t="shared" si="2"/>
        <v>13</v>
      </c>
      <c r="I17">
        <v>480105</v>
      </c>
      <c r="J17">
        <v>485690</v>
      </c>
      <c r="K17">
        <v>6</v>
      </c>
      <c r="L17">
        <v>965801</v>
      </c>
      <c r="M17">
        <v>1589</v>
      </c>
      <c r="N17">
        <v>967390</v>
      </c>
      <c r="O17">
        <v>77.641391620357439</v>
      </c>
      <c r="P17">
        <v>78.994650928230953</v>
      </c>
      <c r="Q17">
        <v>76.104294959181445</v>
      </c>
      <c r="R17">
        <v>46.153846153846153</v>
      </c>
      <c r="S17">
        <v>0.12753095575181461</v>
      </c>
    </row>
    <row r="18" spans="1:19" x14ac:dyDescent="0.35">
      <c r="A18">
        <v>2019</v>
      </c>
      <c r="B18" t="s">
        <v>30</v>
      </c>
      <c r="C18">
        <v>23</v>
      </c>
      <c r="D18" t="s">
        <v>31</v>
      </c>
      <c r="E18">
        <v>1728851</v>
      </c>
      <c r="F18">
        <f t="shared" si="0"/>
        <v>896904.99999999988</v>
      </c>
      <c r="G18">
        <f t="shared" si="1"/>
        <v>831913.00000000012</v>
      </c>
      <c r="H18">
        <f t="shared" si="2"/>
        <v>32.999999999999993</v>
      </c>
      <c r="I18">
        <v>638271</v>
      </c>
      <c r="J18">
        <v>565962</v>
      </c>
      <c r="K18">
        <v>3</v>
      </c>
      <c r="L18">
        <v>1204236</v>
      </c>
      <c r="M18">
        <v>2840</v>
      </c>
      <c r="N18">
        <v>1207076</v>
      </c>
      <c r="O18">
        <v>69.819550672672193</v>
      </c>
      <c r="P18">
        <v>71.163724140237818</v>
      </c>
      <c r="Q18">
        <v>68.03139270572764</v>
      </c>
      <c r="R18">
        <v>9.0909090909090917</v>
      </c>
      <c r="S18">
        <v>0.16427095221045651</v>
      </c>
    </row>
    <row r="19" spans="1:19" x14ac:dyDescent="0.35">
      <c r="A19">
        <v>2019</v>
      </c>
      <c r="B19" t="s">
        <v>32</v>
      </c>
      <c r="C19">
        <v>35</v>
      </c>
      <c r="D19" t="s">
        <v>33</v>
      </c>
      <c r="E19">
        <v>2040367</v>
      </c>
      <c r="F19">
        <f t="shared" si="0"/>
        <v>1096455</v>
      </c>
      <c r="G19">
        <f t="shared" si="1"/>
        <v>943815.00000000012</v>
      </c>
      <c r="H19">
        <f t="shared" si="2"/>
        <v>97.000000000000014</v>
      </c>
      <c r="I19">
        <v>609363</v>
      </c>
      <c r="J19">
        <v>497734</v>
      </c>
      <c r="K19">
        <v>3</v>
      </c>
      <c r="L19">
        <v>1107100</v>
      </c>
      <c r="M19">
        <v>10530</v>
      </c>
      <c r="N19">
        <v>1117630</v>
      </c>
      <c r="O19">
        <v>54.77593001651173</v>
      </c>
      <c r="P19">
        <v>55.575741822509819</v>
      </c>
      <c r="Q19">
        <v>52.736394314563761</v>
      </c>
      <c r="R19">
        <v>3.0927835051546388</v>
      </c>
      <c r="S19">
        <v>0.51608362613196546</v>
      </c>
    </row>
    <row r="20" spans="1:19" x14ac:dyDescent="0.35">
      <c r="A20">
        <v>2019</v>
      </c>
      <c r="B20" t="s">
        <v>34</v>
      </c>
      <c r="C20">
        <v>26</v>
      </c>
      <c r="D20" t="s">
        <v>35</v>
      </c>
      <c r="E20">
        <v>1647350</v>
      </c>
      <c r="F20">
        <f t="shared" si="0"/>
        <v>890162.00000000012</v>
      </c>
      <c r="G20">
        <f t="shared" si="1"/>
        <v>756856</v>
      </c>
      <c r="H20">
        <f t="shared" si="2"/>
        <v>332</v>
      </c>
      <c r="I20">
        <v>542095</v>
      </c>
      <c r="J20">
        <v>445794</v>
      </c>
      <c r="K20">
        <v>167</v>
      </c>
      <c r="L20">
        <v>988056</v>
      </c>
      <c r="M20">
        <v>1906</v>
      </c>
      <c r="N20">
        <v>989962</v>
      </c>
      <c r="O20">
        <v>60.094211916107689</v>
      </c>
      <c r="P20">
        <v>60.898465672540503</v>
      </c>
      <c r="Q20">
        <v>58.90076844208145</v>
      </c>
      <c r="R20">
        <v>50.30120481927711</v>
      </c>
      <c r="S20">
        <v>0.1157009742920448</v>
      </c>
    </row>
    <row r="21" spans="1:19" x14ac:dyDescent="0.35">
      <c r="A21">
        <v>2019</v>
      </c>
      <c r="B21" t="s">
        <v>36</v>
      </c>
      <c r="C21">
        <v>15</v>
      </c>
      <c r="D21" t="s">
        <v>37</v>
      </c>
      <c r="E21">
        <v>1730553</v>
      </c>
      <c r="I21">
        <v>532392</v>
      </c>
      <c r="J21">
        <v>521572</v>
      </c>
      <c r="K21">
        <v>0</v>
      </c>
      <c r="L21">
        <v>1053964</v>
      </c>
      <c r="M21">
        <v>4543</v>
      </c>
      <c r="N21">
        <v>1058507</v>
      </c>
      <c r="O21">
        <v>61.165823872484687</v>
      </c>
      <c r="P21">
        <v>57.703613141534213</v>
      </c>
      <c r="Q21">
        <v>64.559859089553143</v>
      </c>
      <c r="R21">
        <v>0</v>
      </c>
      <c r="S21">
        <v>0.26251724159849482</v>
      </c>
    </row>
    <row r="22" spans="1:19" x14ac:dyDescent="0.35">
      <c r="A22">
        <v>2024</v>
      </c>
      <c r="B22" t="s">
        <v>19</v>
      </c>
      <c r="C22">
        <v>7</v>
      </c>
      <c r="D22" t="s">
        <v>20</v>
      </c>
      <c r="E22">
        <v>2040263</v>
      </c>
      <c r="F22">
        <v>1068564</v>
      </c>
      <c r="G22">
        <v>971582</v>
      </c>
      <c r="H22">
        <v>117</v>
      </c>
      <c r="I22">
        <v>628137</v>
      </c>
      <c r="J22">
        <v>487159</v>
      </c>
      <c r="K22">
        <v>17</v>
      </c>
      <c r="L22">
        <v>1115313</v>
      </c>
      <c r="M22">
        <v>15443</v>
      </c>
      <c r="N22">
        <v>1130756</v>
      </c>
      <c r="O22">
        <v>55.42</v>
      </c>
      <c r="P22">
        <v>58.78</v>
      </c>
      <c r="Q22">
        <v>50.14</v>
      </c>
      <c r="R22">
        <v>14.53</v>
      </c>
      <c r="S22">
        <v>0.75691222161064531</v>
      </c>
    </row>
    <row r="23" spans="1:19" x14ac:dyDescent="0.35">
      <c r="A23">
        <v>2024</v>
      </c>
      <c r="B23" t="s">
        <v>21</v>
      </c>
      <c r="C23">
        <v>1</v>
      </c>
      <c r="D23" t="s">
        <v>21</v>
      </c>
      <c r="E23">
        <v>315745</v>
      </c>
      <c r="F23">
        <v>164572</v>
      </c>
      <c r="G23">
        <v>151169</v>
      </c>
      <c r="H23">
        <v>4</v>
      </c>
      <c r="I23">
        <v>105614</v>
      </c>
      <c r="J23">
        <v>96376</v>
      </c>
      <c r="K23">
        <v>2</v>
      </c>
      <c r="L23">
        <v>201992</v>
      </c>
      <c r="M23">
        <v>605</v>
      </c>
      <c r="N23">
        <v>202597</v>
      </c>
      <c r="O23">
        <v>64.16</v>
      </c>
      <c r="P23">
        <v>64.17</v>
      </c>
      <c r="Q23">
        <v>63.75</v>
      </c>
      <c r="R23">
        <v>50</v>
      </c>
      <c r="S23">
        <v>0.19161031845318219</v>
      </c>
    </row>
    <row r="24" spans="1:19" x14ac:dyDescent="0.35">
      <c r="A24">
        <v>2024</v>
      </c>
      <c r="B24" t="s">
        <v>22</v>
      </c>
      <c r="C24">
        <v>26</v>
      </c>
      <c r="D24" t="s">
        <v>23</v>
      </c>
      <c r="E24">
        <v>2341895</v>
      </c>
      <c r="F24">
        <v>1207404</v>
      </c>
      <c r="G24">
        <v>1134091</v>
      </c>
      <c r="H24">
        <v>400</v>
      </c>
      <c r="I24">
        <v>630756</v>
      </c>
      <c r="J24">
        <v>614381</v>
      </c>
      <c r="K24">
        <v>51</v>
      </c>
      <c r="L24">
        <v>1245188</v>
      </c>
      <c r="M24">
        <v>4864</v>
      </c>
      <c r="N24">
        <v>1250052</v>
      </c>
      <c r="O24">
        <v>53.38</v>
      </c>
      <c r="P24">
        <v>52.24</v>
      </c>
      <c r="Q24">
        <v>54.17</v>
      </c>
      <c r="R24">
        <v>12.75</v>
      </c>
      <c r="S24">
        <v>0.2076950503758708</v>
      </c>
    </row>
    <row r="25" spans="1:19" x14ac:dyDescent="0.35">
      <c r="A25">
        <v>2024</v>
      </c>
      <c r="B25" t="s">
        <v>24</v>
      </c>
      <c r="C25">
        <v>18</v>
      </c>
      <c r="D25" t="s">
        <v>25</v>
      </c>
      <c r="E25">
        <v>1675019</v>
      </c>
      <c r="F25">
        <v>870888</v>
      </c>
      <c r="G25">
        <v>803561</v>
      </c>
      <c r="H25">
        <v>570</v>
      </c>
      <c r="I25">
        <v>563065</v>
      </c>
      <c r="J25">
        <v>514851</v>
      </c>
      <c r="K25">
        <v>127</v>
      </c>
      <c r="L25">
        <v>1078043</v>
      </c>
      <c r="M25">
        <v>5498</v>
      </c>
      <c r="N25">
        <v>1083541</v>
      </c>
      <c r="O25">
        <v>64.69</v>
      </c>
      <c r="P25">
        <v>64.650000000000006</v>
      </c>
      <c r="Q25">
        <v>64.069999999999993</v>
      </c>
      <c r="R25">
        <v>22.28</v>
      </c>
      <c r="S25">
        <v>0.32823508270652452</v>
      </c>
    </row>
    <row r="26" spans="1:19" x14ac:dyDescent="0.35">
      <c r="A26">
        <v>2024</v>
      </c>
      <c r="B26" t="s">
        <v>26</v>
      </c>
      <c r="C26">
        <v>13</v>
      </c>
      <c r="D26" t="s">
        <v>27</v>
      </c>
      <c r="E26">
        <v>1661998</v>
      </c>
      <c r="F26">
        <v>812311</v>
      </c>
      <c r="G26">
        <v>849652</v>
      </c>
      <c r="H26">
        <v>35</v>
      </c>
      <c r="I26">
        <v>623386</v>
      </c>
      <c r="J26">
        <v>650333</v>
      </c>
      <c r="K26">
        <v>8</v>
      </c>
      <c r="L26">
        <v>1273727</v>
      </c>
      <c r="M26">
        <v>4737</v>
      </c>
      <c r="N26">
        <v>1278464</v>
      </c>
      <c r="O26">
        <v>76.92</v>
      </c>
      <c r="P26">
        <v>76.739999999999995</v>
      </c>
      <c r="Q26">
        <v>76.540000000000006</v>
      </c>
      <c r="R26">
        <v>22.86</v>
      </c>
      <c r="S26">
        <v>0.28501839352393932</v>
      </c>
    </row>
    <row r="27" spans="1:19" x14ac:dyDescent="0.35">
      <c r="A27">
        <v>2024</v>
      </c>
      <c r="B27" t="s">
        <v>28</v>
      </c>
      <c r="C27">
        <v>12</v>
      </c>
      <c r="D27" t="s">
        <v>29</v>
      </c>
      <c r="E27">
        <v>1324757</v>
      </c>
      <c r="F27">
        <v>641291</v>
      </c>
      <c r="G27">
        <v>683451</v>
      </c>
      <c r="H27">
        <v>15</v>
      </c>
      <c r="I27">
        <v>450518</v>
      </c>
      <c r="J27">
        <v>453580</v>
      </c>
      <c r="K27">
        <v>4</v>
      </c>
      <c r="L27">
        <v>904102</v>
      </c>
      <c r="M27">
        <v>6933</v>
      </c>
      <c r="N27">
        <v>911035</v>
      </c>
      <c r="O27">
        <v>68.77</v>
      </c>
      <c r="P27">
        <v>70.25</v>
      </c>
      <c r="Q27">
        <v>66.37</v>
      </c>
      <c r="R27">
        <v>26.67</v>
      </c>
      <c r="S27">
        <v>0.52334126183141516</v>
      </c>
    </row>
    <row r="28" spans="1:19" x14ac:dyDescent="0.35">
      <c r="A28">
        <v>2024</v>
      </c>
      <c r="B28" t="s">
        <v>30</v>
      </c>
      <c r="C28">
        <v>23</v>
      </c>
      <c r="D28" t="s">
        <v>31</v>
      </c>
      <c r="E28">
        <v>1850115</v>
      </c>
      <c r="F28">
        <v>947832</v>
      </c>
      <c r="G28">
        <v>902241</v>
      </c>
      <c r="H28">
        <v>42</v>
      </c>
      <c r="I28">
        <v>642406</v>
      </c>
      <c r="J28">
        <v>596004</v>
      </c>
      <c r="K28">
        <v>15</v>
      </c>
      <c r="L28">
        <v>1238425</v>
      </c>
      <c r="M28">
        <v>6115</v>
      </c>
      <c r="N28">
        <v>1244540</v>
      </c>
      <c r="O28">
        <v>67.27</v>
      </c>
      <c r="P28">
        <v>67.78</v>
      </c>
      <c r="Q28">
        <v>66.06</v>
      </c>
      <c r="R28">
        <v>35.71</v>
      </c>
      <c r="S28">
        <v>0.33051999470303189</v>
      </c>
    </row>
    <row r="29" spans="1:19" x14ac:dyDescent="0.35">
      <c r="A29">
        <v>2024</v>
      </c>
      <c r="B29" t="s">
        <v>32</v>
      </c>
      <c r="C29">
        <v>35</v>
      </c>
      <c r="D29" t="s">
        <v>33</v>
      </c>
      <c r="E29">
        <v>2173953</v>
      </c>
      <c r="F29">
        <v>1149665</v>
      </c>
      <c r="G29">
        <v>1024196</v>
      </c>
      <c r="H29">
        <v>92</v>
      </c>
      <c r="I29">
        <v>621389</v>
      </c>
      <c r="J29">
        <v>514344</v>
      </c>
      <c r="K29">
        <v>22</v>
      </c>
      <c r="L29">
        <v>1135755</v>
      </c>
      <c r="M29">
        <v>4467</v>
      </c>
      <c r="N29">
        <v>1140222</v>
      </c>
      <c r="O29">
        <v>52.45</v>
      </c>
      <c r="P29">
        <v>54.05</v>
      </c>
      <c r="Q29">
        <v>50.22</v>
      </c>
      <c r="R29">
        <v>23.91</v>
      </c>
      <c r="S29">
        <v>0.20547822331025559</v>
      </c>
    </row>
    <row r="30" spans="1:19" x14ac:dyDescent="0.35">
      <c r="A30">
        <v>2024</v>
      </c>
      <c r="B30" t="s">
        <v>34</v>
      </c>
      <c r="C30">
        <v>26</v>
      </c>
      <c r="D30" t="s">
        <v>35</v>
      </c>
      <c r="E30">
        <v>1812115</v>
      </c>
      <c r="F30">
        <v>969143</v>
      </c>
      <c r="G30">
        <v>842559</v>
      </c>
      <c r="H30">
        <v>413</v>
      </c>
      <c r="I30">
        <v>560391</v>
      </c>
      <c r="J30">
        <v>472815</v>
      </c>
      <c r="K30">
        <v>61</v>
      </c>
      <c r="L30">
        <v>1033267</v>
      </c>
      <c r="M30">
        <v>3228</v>
      </c>
      <c r="N30">
        <v>1036495</v>
      </c>
      <c r="O30">
        <v>57.2</v>
      </c>
      <c r="P30">
        <v>57.82</v>
      </c>
      <c r="Q30">
        <v>56.12</v>
      </c>
      <c r="R30">
        <v>14.77</v>
      </c>
      <c r="S30">
        <v>0.1781343899255842</v>
      </c>
    </row>
    <row r="31" spans="1:19" x14ac:dyDescent="0.35">
      <c r="A31">
        <v>2024</v>
      </c>
      <c r="B31" t="s">
        <v>36</v>
      </c>
      <c r="C31">
        <v>15</v>
      </c>
      <c r="D31" t="s">
        <v>37</v>
      </c>
      <c r="E31">
        <v>1869072</v>
      </c>
      <c r="F31">
        <v>987259</v>
      </c>
      <c r="G31">
        <v>881759</v>
      </c>
      <c r="H31">
        <v>54</v>
      </c>
      <c r="I31">
        <v>550167</v>
      </c>
      <c r="J31">
        <v>559926</v>
      </c>
      <c r="K31">
        <v>2</v>
      </c>
      <c r="L31">
        <v>1110095</v>
      </c>
      <c r="M31">
        <v>2838</v>
      </c>
      <c r="N31">
        <v>1112933</v>
      </c>
      <c r="O31">
        <v>59.54</v>
      </c>
      <c r="P31">
        <v>55.73</v>
      </c>
      <c r="Q31">
        <v>63.5</v>
      </c>
      <c r="R31">
        <v>3.7</v>
      </c>
      <c r="S31">
        <v>0.15184005752587379</v>
      </c>
    </row>
  </sheetData>
  <sortState xmlns:xlrd2="http://schemas.microsoft.com/office/spreadsheetml/2017/richdata2" ref="A2:S31">
    <sortCondition ref="A1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Pant</cp:lastModifiedBy>
  <dcterms:created xsi:type="dcterms:W3CDTF">2025-11-23T08:31:36Z</dcterms:created>
  <dcterms:modified xsi:type="dcterms:W3CDTF">2025-11-26T06:33:11Z</dcterms:modified>
</cp:coreProperties>
</file>